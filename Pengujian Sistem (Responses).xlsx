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 E N O V O\Downloads\"/>
    </mc:Choice>
  </mc:AlternateContent>
  <xr:revisionPtr revIDLastSave="0" documentId="13_ncr:1_{D6FAABD0-5578-419E-B1E5-9D918A98924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  <sheet name="Form Responses 1 (2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B34" i="1"/>
  <c r="A3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D15" i="1"/>
  <c r="C15" i="1"/>
  <c r="B15" i="1"/>
  <c r="B10" i="1"/>
  <c r="B11" i="1"/>
  <c r="B12" i="1"/>
  <c r="B13" i="1"/>
  <c r="B14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D10" i="1"/>
  <c r="D11" i="1"/>
  <c r="D12" i="1"/>
  <c r="D13" i="1"/>
  <c r="D14" i="1"/>
  <c r="C11" i="1"/>
  <c r="C12" i="1"/>
  <c r="C13" i="1"/>
  <c r="C14" i="1"/>
  <c r="C10" i="1"/>
</calcChain>
</file>

<file path=xl/sharedStrings.xml><?xml version="1.0" encoding="utf-8"?>
<sst xmlns="http://schemas.openxmlformats.org/spreadsheetml/2006/main" count="260" uniqueCount="40">
  <si>
    <t>Timestamp</t>
  </si>
  <si>
    <t>Home</t>
  </si>
  <si>
    <t>Daftar Bayi</t>
  </si>
  <si>
    <t>Daftar Tenaga Medis (Dokter)</t>
  </si>
  <si>
    <t>Monitoring</t>
  </si>
  <si>
    <t>Tindakan</t>
  </si>
  <si>
    <t>Ruangan</t>
  </si>
  <si>
    <t>Chat</t>
  </si>
  <si>
    <t>Home 2</t>
  </si>
  <si>
    <t>Input Tindakan</t>
  </si>
  <si>
    <t>Tindakan 2</t>
  </si>
  <si>
    <t>Status Konfirmasi</t>
  </si>
  <si>
    <t>Chat 2</t>
  </si>
  <si>
    <t>Dashbord</t>
  </si>
  <si>
    <t>Detail Bayi</t>
  </si>
  <si>
    <t>Chat 3</t>
  </si>
  <si>
    <t xml:space="preserve">Dashbord </t>
  </si>
  <si>
    <t>Input Tindakan 2</t>
  </si>
  <si>
    <t>Pemberitahuan</t>
  </si>
  <si>
    <t>Chat 4</t>
  </si>
  <si>
    <t>Sesuai</t>
  </si>
  <si>
    <t>Sangat Sesuai</t>
  </si>
  <si>
    <t>Cukup Sesuai</t>
  </si>
  <si>
    <t>Sangat Setuju</t>
  </si>
  <si>
    <t>Kurang Sesuai</t>
  </si>
  <si>
    <t>Setuju</t>
  </si>
  <si>
    <t>Jawaban</t>
  </si>
  <si>
    <t>Skor</t>
  </si>
  <si>
    <t>Tidak Sesuai</t>
  </si>
  <si>
    <t>Admin</t>
  </si>
  <si>
    <t>Perawat</t>
  </si>
  <si>
    <t>Dokter</t>
  </si>
  <si>
    <t>Orang Tua</t>
  </si>
  <si>
    <t>Daftar Tenaga Medis</t>
  </si>
  <si>
    <t xml:space="preserve">Home </t>
  </si>
  <si>
    <t xml:space="preserve">Tindakan </t>
  </si>
  <si>
    <t xml:space="preserve">Chat </t>
  </si>
  <si>
    <t xml:space="preserve">Input Tindakan </t>
  </si>
  <si>
    <t xml:space="preserve">Chat  </t>
  </si>
  <si>
    <t xml:space="preserve">Chat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</si>
</sst>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.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u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3" borderId="2" xfId="0" applyFill="1" applyBorder="1"/>
    <xf numFmtId="0" fontId="0" fillId="0" borderId="2" xfId="0" applyBorder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5" fontId="0" fillId="0" borderId="2" xfId="0" applyNumberFormat="1" applyBorder="1"/>
  </cellXfs>
  <cellStyles count="1">
    <cellStyle name="Normal" xfId="0" builtinId="0"/>
  </cellStyles>
  <dxfs count="45"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rgb="FF5B3F86"/>
        </top>
      </border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rgb="FF5B3F86"/>
          <bgColor rgb="FF5B3F86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4"/>
      <tableStyleElement type="headerRow" dxfId="43"/>
      <tableStyleElement type="firstRowStripe" dxfId="42"/>
      <tableStyleElement type="secondRowStripe" dxfId="41"/>
    </tableStyle>
  </tableStyles>
  <colors>
    <mruColors>
      <color rgb="FF9EACC8"/>
      <color rgb="FF89C7DD"/>
      <color rgb="FFF7CA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Perawat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'Form Responses 1'!$I$9:$M$9</c:f>
              <c:strCache>
                <c:ptCount val="5"/>
                <c:pt idx="0">
                  <c:v>Home </c:v>
                </c:pt>
                <c:pt idx="1">
                  <c:v>Input Tindakan</c:v>
                </c:pt>
                <c:pt idx="2">
                  <c:v>Tindakan </c:v>
                </c:pt>
                <c:pt idx="3">
                  <c:v>Status Konfirmasi</c:v>
                </c:pt>
                <c:pt idx="4">
                  <c:v>Chat </c:v>
                </c:pt>
              </c:strCache>
            </c:strRef>
          </c:cat>
          <c:val>
            <c:numRef>
              <c:f>'Form Responses 1'!$I$15:$M$15</c:f>
              <c:numCache>
                <c:formatCode>General</c:formatCode>
                <c:ptCount val="5"/>
                <c:pt idx="0">
                  <c:v>4.4000000000000004</c:v>
                </c:pt>
                <c:pt idx="1">
                  <c:v>4</c:v>
                </c:pt>
                <c:pt idx="2">
                  <c:v>4.2</c:v>
                </c:pt>
                <c:pt idx="3">
                  <c:v>4.4000000000000004</c:v>
                </c:pt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4-4245-9172-674EC0627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834720"/>
        <c:axId val="1930297856"/>
      </c:barChart>
      <c:catAx>
        <c:axId val="186483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97856"/>
        <c:crosses val="autoZero"/>
        <c:auto val="1"/>
        <c:lblAlgn val="ctr"/>
        <c:lblOffset val="100"/>
        <c:noMultiLvlLbl val="0"/>
      </c:catAx>
      <c:valAx>
        <c:axId val="1930297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Orang Tua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'Form Responses 1'!$N$9:$P$9</c:f>
              <c:strCache>
                <c:ptCount val="3"/>
                <c:pt idx="0">
                  <c:v>Dashbord</c:v>
                </c:pt>
                <c:pt idx="1">
                  <c:v>Detail Bayi</c:v>
                </c:pt>
                <c:pt idx="2">
                  <c:v>Chat   </c:v>
                </c:pt>
              </c:strCache>
            </c:strRef>
          </c:cat>
          <c:val>
            <c:numRef>
              <c:f>'Form Responses 1'!$N$15:$P$15</c:f>
              <c:numCache>
                <c:formatCode>General</c:formatCode>
                <c:ptCount val="3"/>
                <c:pt idx="0">
                  <c:v>4.8</c:v>
                </c:pt>
                <c:pt idx="1">
                  <c:v>4.8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C-4FFA-BAC0-A07503782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91168"/>
        <c:axId val="21693088"/>
      </c:barChart>
      <c:catAx>
        <c:axId val="2169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93088"/>
        <c:crosses val="autoZero"/>
        <c:auto val="1"/>
        <c:lblAlgn val="ctr"/>
        <c:lblOffset val="100"/>
        <c:noMultiLvlLbl val="0"/>
      </c:catAx>
      <c:valAx>
        <c:axId val="21693088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9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Dokter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'Form Responses 1'!$Q$9:$T$9</c:f>
              <c:strCache>
                <c:ptCount val="4"/>
                <c:pt idx="0">
                  <c:v>Dashbord </c:v>
                </c:pt>
                <c:pt idx="1">
                  <c:v>Input Tindakan </c:v>
                </c:pt>
                <c:pt idx="2">
                  <c:v>Pemberitahuan</c:v>
                </c:pt>
                <c:pt idx="3">
                  <c:v>Chat  </c:v>
                </c:pt>
              </c:strCache>
            </c:strRef>
          </c:cat>
          <c:val>
            <c:numRef>
              <c:f>'Form Responses 1'!$Q$15:$T$15</c:f>
              <c:numCache>
                <c:formatCode>General</c:formatCode>
                <c:ptCount val="4"/>
                <c:pt idx="0">
                  <c:v>4.8</c:v>
                </c:pt>
                <c:pt idx="1">
                  <c:v>5</c:v>
                </c:pt>
                <c:pt idx="2">
                  <c:v>4.8</c:v>
                </c:pt>
                <c:pt idx="3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9-4E9F-A5C1-FCCD298F8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91168"/>
        <c:axId val="94693568"/>
      </c:barChart>
      <c:catAx>
        <c:axId val="9469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3568"/>
        <c:crosses val="autoZero"/>
        <c:auto val="1"/>
        <c:lblAlgn val="ctr"/>
        <c:lblOffset val="100"/>
        <c:noMultiLvlLbl val="0"/>
      </c:catAx>
      <c:valAx>
        <c:axId val="94693568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Admin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'Form Responses 1'!$B$9:$H$9</c:f>
              <c:strCache>
                <c:ptCount val="7"/>
                <c:pt idx="0">
                  <c:v>Home</c:v>
                </c:pt>
                <c:pt idx="1">
                  <c:v>Daftar Bayi</c:v>
                </c:pt>
                <c:pt idx="2">
                  <c:v>Daftar Tenaga Medis</c:v>
                </c:pt>
                <c:pt idx="3">
                  <c:v>Monitoring</c:v>
                </c:pt>
                <c:pt idx="4">
                  <c:v>Tindakan</c:v>
                </c:pt>
                <c:pt idx="5">
                  <c:v>Ruangan</c:v>
                </c:pt>
                <c:pt idx="6">
                  <c:v>Chat</c:v>
                </c:pt>
              </c:strCache>
            </c:strRef>
          </c:cat>
          <c:val>
            <c:numRef>
              <c:f>'Form Responses 1'!$B$15:$H$15</c:f>
              <c:numCache>
                <c:formatCode>General</c:formatCode>
                <c:ptCount val="7"/>
                <c:pt idx="0">
                  <c:v>4.5999999999999996</c:v>
                </c:pt>
                <c:pt idx="1">
                  <c:v>4.5999999999999996</c:v>
                </c:pt>
                <c:pt idx="2">
                  <c:v>4.2</c:v>
                </c:pt>
                <c:pt idx="3">
                  <c:v>4.4000000000000004</c:v>
                </c:pt>
                <c:pt idx="4">
                  <c:v>4.5999999999999996</c:v>
                </c:pt>
                <c:pt idx="5">
                  <c:v>4.8</c:v>
                </c:pt>
                <c:pt idx="6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D-4E74-A1F1-3FD8BAEFB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982416"/>
        <c:axId val="1929982896"/>
      </c:barChart>
      <c:catAx>
        <c:axId val="192998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82896"/>
        <c:crosses val="autoZero"/>
        <c:auto val="1"/>
        <c:lblAlgn val="ctr"/>
        <c:lblOffset val="100"/>
        <c:noMultiLvlLbl val="0"/>
      </c:catAx>
      <c:valAx>
        <c:axId val="192998289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8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bg2"/>
                </a:solidFill>
              </a:rPr>
              <a:t>Hasil</a:t>
            </a:r>
            <a:r>
              <a:rPr lang="en-ID" baseline="0">
                <a:solidFill>
                  <a:schemeClr val="bg2"/>
                </a:solidFill>
              </a:rPr>
              <a:t> Penilaian Prototype</a:t>
            </a:r>
            <a:endParaRPr lang="en-ID">
              <a:solidFill>
                <a:schemeClr val="bg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7CA6F"/>
            </a:solidFill>
            <a:ln>
              <a:noFill/>
            </a:ln>
            <a:effectLst/>
          </c:spPr>
          <c:invertIfNegative val="0"/>
          <c:cat>
            <c:strRef>
              <c:f>'Form Responses 1'!$A$33:$D$33</c:f>
              <c:strCache>
                <c:ptCount val="4"/>
                <c:pt idx="0">
                  <c:v>Admin</c:v>
                </c:pt>
                <c:pt idx="1">
                  <c:v>Perawat</c:v>
                </c:pt>
                <c:pt idx="2">
                  <c:v>Dokter</c:v>
                </c:pt>
                <c:pt idx="3">
                  <c:v>Orang Tua</c:v>
                </c:pt>
              </c:strCache>
            </c:strRef>
          </c:cat>
          <c:val>
            <c:numRef>
              <c:f>'Form Responses 1'!$A$34:$D$34</c:f>
              <c:numCache>
                <c:formatCode>0.0</c:formatCode>
                <c:ptCount val="4"/>
                <c:pt idx="0">
                  <c:v>4.5714285714285712</c:v>
                </c:pt>
                <c:pt idx="1">
                  <c:v>4.32</c:v>
                </c:pt>
                <c:pt idx="2">
                  <c:v>4.8499999999999996</c:v>
                </c:pt>
                <c:pt idx="3">
                  <c:v>4.8666666666666663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A-4042-BF7E-163FC6A47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9536"/>
        <c:axId val="13300016"/>
      </c:barChart>
      <c:catAx>
        <c:axId val="1329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016"/>
        <c:crosses val="autoZero"/>
        <c:auto val="1"/>
        <c:lblAlgn val="ctr"/>
        <c:lblOffset val="100"/>
        <c:noMultiLvlLbl val="0"/>
      </c:catAx>
      <c:valAx>
        <c:axId val="1330001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EACC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615614</xdr:colOff>
      <xdr:row>15</xdr:row>
      <xdr:rowOff>180948</xdr:rowOff>
    </xdr:from>
    <xdr:to>
      <xdr:col>8</xdr:col>
      <xdr:colOff>1238743</xdr:colOff>
      <xdr:row>29</xdr:row>
      <xdr:rowOff>153469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A2E35A-5F0B-4572-8437-EB8087E08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758274</xdr:colOff>
      <xdr:row>16</xdr:row>
      <xdr:rowOff>2220</xdr:rowOff>
    </xdr:from>
    <xdr:to>
      <xdr:col>16</xdr:col>
      <xdr:colOff>50158</xdr:colOff>
      <xdr:row>29</xdr:row>
      <xdr:rowOff>146337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8C43B4-50B1-F263-D33F-D80AAE8FA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46024</xdr:colOff>
      <xdr:row>15</xdr:row>
      <xdr:rowOff>196011</xdr:rowOff>
    </xdr:from>
    <xdr:to>
      <xdr:col>12</xdr:col>
      <xdr:colOff>647320</xdr:colOff>
      <xdr:row>29</xdr:row>
      <xdr:rowOff>141707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1483E4-D610-F930-A8B8-F1A096B64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539017</xdr:colOff>
      <xdr:row>15</xdr:row>
      <xdr:rowOff>168275</xdr:rowOff>
    </xdr:from>
    <xdr:to>
      <xdr:col>5</xdr:col>
      <xdr:colOff>500917</xdr:colOff>
      <xdr:row>29</xdr:row>
      <xdr:rowOff>155575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9105B6-C73A-1E3A-6A7B-ACB249D1F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550680</xdr:colOff>
      <xdr:row>31</xdr:row>
      <xdr:rowOff>169055</xdr:rowOff>
    </xdr:from>
    <xdr:to>
      <xdr:col>8</xdr:col>
      <xdr:colOff>1156533</xdr:colOff>
      <xdr:row>45</xdr:row>
      <xdr:rowOff>143239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FB759B-8B96-BCE8-43E4-54388E085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7">
  <tableColumns count="20">
    <tableColumn id="1" xr3:uid="{00000000-0010-0000-0000-000001000000}" name="Timestamp"/>
    <tableColumn id="2" xr3:uid="{00000000-0010-0000-0000-000002000000}" name="Home"/>
    <tableColumn id="3" xr3:uid="{00000000-0010-0000-0000-000003000000}" name="Daftar Bayi"/>
    <tableColumn id="4" xr3:uid="{00000000-0010-0000-0000-000004000000}" name="Daftar Tenaga Medis (Dokter)"/>
    <tableColumn id="5" xr3:uid="{00000000-0010-0000-0000-000005000000}" name="Monitoring"/>
    <tableColumn id="6" xr3:uid="{00000000-0010-0000-0000-000006000000}" name="Tindakan"/>
    <tableColumn id="7" xr3:uid="{00000000-0010-0000-0000-000007000000}" name="Ruangan"/>
    <tableColumn id="8" xr3:uid="{00000000-0010-0000-0000-000008000000}" name="Chat"/>
    <tableColumn id="9" xr3:uid="{00000000-0010-0000-0000-000009000000}" name="Home 2"/>
    <tableColumn id="10" xr3:uid="{00000000-0010-0000-0000-00000A000000}" name="Input Tindakan"/>
    <tableColumn id="11" xr3:uid="{00000000-0010-0000-0000-00000B000000}" name="Tindakan 2"/>
    <tableColumn id="12" xr3:uid="{00000000-0010-0000-0000-00000C000000}" name="Status Konfirmasi"/>
    <tableColumn id="13" xr3:uid="{00000000-0010-0000-0000-00000D000000}" name="Chat "/>
    <tableColumn id="14" xr3:uid="{00000000-0010-0000-0000-00000E000000}" name="Dashbord"/>
    <tableColumn id="15" xr3:uid="{00000000-0010-0000-0000-00000F000000}" name="Detail Bayi"/>
    <tableColumn id="16" xr3:uid="{00000000-0010-0000-0000-000010000000}" name="Chat 3"/>
    <tableColumn id="17" xr3:uid="{00000000-0010-0000-0000-000011000000}" name="Dashbord "/>
    <tableColumn id="18" xr3:uid="{00000000-0010-0000-0000-000012000000}" name="Input Tindakan "/>
    <tableColumn id="19" xr3:uid="{00000000-0010-0000-0000-000013000000}" name="Pemberitahuan"/>
    <tableColumn id="20" xr3:uid="{00000000-0010-0000-0000-000014000000}" name="Chat 2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625C5E-34FF-425A-8900-0F680C7B11F4}" name="Table5" displayName="Table5" ref="B9:T15" totalsRowCount="1" headerRowDxfId="40" dataDxfId="39" tableBorderDxfId="38">
  <autoFilter ref="B9:T14" xr:uid="{AF625C5E-34FF-425A-8900-0F680C7B11F4}"/>
  <tableColumns count="19">
    <tableColumn id="1" xr3:uid="{D77BC3EF-D321-44C0-836A-DFB60365E5D2}" name="Home" totalsRowFunction="custom" dataDxfId="37" totalsRowDxfId="36">
      <calculatedColumnFormula>VLOOKUP(B2,$A$18:$B$22,2,FALSE)</calculatedColumnFormula>
      <totalsRowFormula>AVERAGE(B10:B14)</totalsRowFormula>
    </tableColumn>
    <tableColumn id="2" xr3:uid="{C4FFFEA9-0CEC-44AA-924F-4077EBD1CDD5}" name="Daftar Bayi" totalsRowFunction="custom" dataDxfId="35" totalsRowDxfId="34">
      <calculatedColumnFormula>VLOOKUP(C2,$A$18:$B$22,2,FALSE)</calculatedColumnFormula>
      <totalsRowFormula>AVERAGE(C10:C14)</totalsRowFormula>
    </tableColumn>
    <tableColumn id="3" xr3:uid="{CA1E88FF-A66E-42AC-93A7-21E20AAD12CF}" name="Daftar Tenaga Medis" totalsRowFunction="custom" dataDxfId="33" totalsRowDxfId="32">
      <calculatedColumnFormula>VLOOKUP(D2,$A$18:$B$22,2,FALSE)</calculatedColumnFormula>
      <totalsRowFormula>AVERAGE(D10:D14)</totalsRowFormula>
    </tableColumn>
    <tableColumn id="4" xr3:uid="{D24B589F-A898-4E70-ACF5-67D9E87FCC91}" name="Monitoring" totalsRowFunction="custom" dataDxfId="31" totalsRowDxfId="30">
      <calculatedColumnFormula>VLOOKUP(E2,$A$18:$B$22,2,FALSE)</calculatedColumnFormula>
      <totalsRowFormula>AVERAGE(E10:E14)</totalsRowFormula>
    </tableColumn>
    <tableColumn id="5" xr3:uid="{867F94F3-C8AD-44C0-A567-03EBA6B772F6}" name="Tindakan" totalsRowFunction="custom" dataDxfId="29" totalsRowDxfId="28">
      <calculatedColumnFormula>VLOOKUP(F2,$A$18:$B$22,2,FALSE)</calculatedColumnFormula>
      <totalsRowFormula>AVERAGE(F10:F14)</totalsRowFormula>
    </tableColumn>
    <tableColumn id="6" xr3:uid="{35C35689-D7E1-4CCC-9D51-CB6E0E625A4A}" name="Ruangan" totalsRowFunction="custom" dataDxfId="27" totalsRowDxfId="26">
      <calculatedColumnFormula>VLOOKUP(G2,$A$18:$B$22,2,FALSE)</calculatedColumnFormula>
      <totalsRowFormula>AVERAGE(G10:G14)</totalsRowFormula>
    </tableColumn>
    <tableColumn id="7" xr3:uid="{86ABF3B0-C250-478D-8E41-AE322C06EC12}" name="Chat" totalsRowFunction="custom" dataDxfId="25" totalsRowDxfId="24">
      <calculatedColumnFormula>VLOOKUP(H2,$A$18:$B$22,2,FALSE)</calculatedColumnFormula>
      <totalsRowFormula>AVERAGE(H10:H14)</totalsRowFormula>
    </tableColumn>
    <tableColumn id="8" xr3:uid="{27E3E9F7-AECA-4C9F-88D0-9E98EF6CCDF0}" name="Home " totalsRowFunction="custom" dataDxfId="23" totalsRowDxfId="22">
      <calculatedColumnFormula>VLOOKUP(I2,$A$18:$B$22,2,FALSE)</calculatedColumnFormula>
      <totalsRowFormula>AVERAGE(I10:I14)</totalsRowFormula>
    </tableColumn>
    <tableColumn id="9" xr3:uid="{82D16935-F4F0-46B7-B27F-1D50D42F45F5}" name="Input Tindakan" totalsRowFunction="custom" dataDxfId="21" totalsRowDxfId="20">
      <calculatedColumnFormula>VLOOKUP(J2,$A$18:$B$22,2,FALSE)</calculatedColumnFormula>
      <totalsRowFormula>AVERAGE(J10:J14)</totalsRowFormula>
    </tableColumn>
    <tableColumn id="10" xr3:uid="{E2546E2B-E1CF-4A6F-8DAC-2E38D4277290}" name="Tindakan " totalsRowFunction="custom" dataDxfId="19" totalsRowDxfId="18">
      <calculatedColumnFormula>VLOOKUP(K2,$A$18:$B$22,2,FALSE)</calculatedColumnFormula>
      <totalsRowFormula>AVERAGE(K10:K14)</totalsRowFormula>
    </tableColumn>
    <tableColumn id="11" xr3:uid="{39FC5ECA-1871-40C4-93BD-A38AF0A74D38}" name="Status Konfirmasi" totalsRowFunction="custom" dataDxfId="17" totalsRowDxfId="16">
      <calculatedColumnFormula>VLOOKUP(L2,$A$18:$B$22,2,FALSE)</calculatedColumnFormula>
      <totalsRowFormula>AVERAGE(L10:L14)</totalsRowFormula>
    </tableColumn>
    <tableColumn id="12" xr3:uid="{55DFB024-4019-42A9-BB95-8236579E9215}" name="Chat " totalsRowFunction="custom" dataDxfId="15" totalsRowDxfId="14">
      <calculatedColumnFormula>VLOOKUP(M2,$A$18:$B$22,2,FALSE)</calculatedColumnFormula>
      <totalsRowFormula>AVERAGE(M10:M14)</totalsRowFormula>
    </tableColumn>
    <tableColumn id="13" xr3:uid="{B3C07466-5528-4238-A098-0A3E5939D4D1}" name="Dashbord" totalsRowFunction="custom" dataDxfId="13" totalsRowDxfId="12">
      <calculatedColumnFormula>VLOOKUP(N2,$A$18:$B$22,2,FALSE)</calculatedColumnFormula>
      <totalsRowFormula>AVERAGE(N10:N14)</totalsRowFormula>
    </tableColumn>
    <tableColumn id="14" xr3:uid="{125D1CA5-543A-40C2-A442-F26579E1A577}" name="Detail Bayi" totalsRowFunction="custom" dataDxfId="11" totalsRowDxfId="10">
      <calculatedColumnFormula>VLOOKUP(O2,$A$18:$B$22,2,FALSE)</calculatedColumnFormula>
      <totalsRowFormula>AVERAGE(O10:O14)</totalsRowFormula>
    </tableColumn>
    <tableColumn id="15" xr3:uid="{7A8144D7-DD35-47B4-9552-0D2DF02C8DDC}" name="Chat   " totalsRowFunction="custom" dataDxfId="9" totalsRowDxfId="8">
      <calculatedColumnFormula>VLOOKUP(P2,$A$18:$B$22,2,FALSE)</calculatedColumnFormula>
      <totalsRowFormula>AVERAGE(P10:P14)</totalsRowFormula>
    </tableColumn>
    <tableColumn id="16" xr3:uid="{0FCE8213-F7DA-467E-B102-FFA6005D12A4}" name="Dashbord " totalsRowFunction="custom" dataDxfId="7" totalsRowDxfId="6">
      <calculatedColumnFormula>VLOOKUP(Q2,$A$18:$B$22,2,FALSE)</calculatedColumnFormula>
      <totalsRowFormula>AVERAGE(Q10:Q14)</totalsRowFormula>
    </tableColumn>
    <tableColumn id="17" xr3:uid="{11524B44-0E98-4089-9A2B-E09A54C30C08}" name="Input Tindakan " totalsRowFunction="custom" dataDxfId="5" totalsRowDxfId="4">
      <calculatedColumnFormula>VLOOKUP(R2,$A$18:$B$22,2,FALSE)</calculatedColumnFormula>
      <totalsRowFormula>AVERAGE(R10:R14)</totalsRowFormula>
    </tableColumn>
    <tableColumn id="18" xr3:uid="{BDA272C6-0115-401D-8DB5-B272255ED34F}" name="Pemberitahuan" totalsRowFunction="custom" dataDxfId="3" totalsRowDxfId="2">
      <calculatedColumnFormula>VLOOKUP(S2,$A$18:$B$22,2,FALSE)</calculatedColumnFormula>
      <totalsRowFormula>AVERAGE(S10:S14)</totalsRowFormula>
    </tableColumn>
    <tableColumn id="19" xr3:uid="{F82D2FC7-9A6D-4BE5-B3AD-7856F6902FA6}" name="Chat  " totalsRowFunction="custom" dataDxfId="1" totalsRowDxfId="0">
      <calculatedColumnFormula>VLOOKUP(T2,$A$18:$B$22,2,FALSE)</calculatedColumnFormula>
      <totalsRowFormula>AVERAGE(T10:T14)</totalsRowFormula>
    </tableColumn>
  </tableColumns>
  <tableStyleInfo name="Form Responses 1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6C5EB1-8348-464E-A642-D8053F055ECB}" name="Form_Responses4" displayName="Form_Responses4" ref="A1:T6">
  <tableColumns count="20">
    <tableColumn id="1" xr3:uid="{48B27B33-C016-4600-AD44-C809C48E897F}" name="Timestamp"/>
    <tableColumn id="2" xr3:uid="{B4C7A51A-FA85-443D-BDAC-1A88F5446B90}" name="Home"/>
    <tableColumn id="3" xr3:uid="{5033F34D-9416-4442-B3E8-E4711ABC6573}" name="Daftar Bayi"/>
    <tableColumn id="4" xr3:uid="{ABD8B402-EEFA-4D6F-8F60-742C97D8DEBF}" name="Daftar Tenaga Medis (Dokter)"/>
    <tableColumn id="5" xr3:uid="{172D66EC-F30F-438C-B833-61FADFF56295}" name="Monitoring"/>
    <tableColumn id="6" xr3:uid="{C748DD3E-D60D-48DF-ACA4-8E5E8633863C}" name="Tindakan"/>
    <tableColumn id="7" xr3:uid="{35D3731B-1C49-4A3E-9300-9809A59AF23E}" name="Ruangan"/>
    <tableColumn id="8" xr3:uid="{CE633453-024D-4AF5-9B35-F7F8EFFECDEF}" name="Chat"/>
    <tableColumn id="9" xr3:uid="{D027FAA1-C334-4470-AC5E-92BA8CF34B1D}" name="Home 2"/>
    <tableColumn id="10" xr3:uid="{EF510EEA-CB8D-4444-95D4-559D9C81D403}" name="Input Tindakan"/>
    <tableColumn id="11" xr3:uid="{1E689D31-5C9B-4210-8445-CC5B7680898A}" name="Tindakan 2"/>
    <tableColumn id="12" xr3:uid="{1692F499-DE5F-404B-BE59-4EF0F3F8076D}" name="Status Konfirmasi"/>
    <tableColumn id="13" xr3:uid="{9BC9F01B-9ACB-4EBA-954D-48501CCC73FB}" name="Chat 2"/>
    <tableColumn id="14" xr3:uid="{50C096BE-CCC3-4BEF-A4BC-925B1A461AD7}" name="Dashbord"/>
    <tableColumn id="15" xr3:uid="{3440A613-9AEC-4E34-BB7D-F932DC221C8C}" name="Detail Bayi"/>
    <tableColumn id="16" xr3:uid="{3376A28E-0CE6-4A4A-A42E-037A49ECD6F9}" name="Chat 3"/>
    <tableColumn id="17" xr3:uid="{F3F88925-20D5-4A1C-9D6B-8EE975D6FD80}" name="Dashbord "/>
    <tableColumn id="18" xr3:uid="{9B2462D4-D00A-4784-86A5-5AEB22027C8B}" name="Input Tindakan 2"/>
    <tableColumn id="19" xr3:uid="{FA6FAD08-13BE-4F77-9505-94C7E06379FE}" name="Pemberitahuan"/>
    <tableColumn id="20" xr3:uid="{1F05DC9C-ABA9-4D09-B51B-90941542356D}" name="Chat 4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4"/>
  <sheetViews>
    <sheetView tabSelected="1" topLeftCell="B1" zoomScale="60" workbookViewId="0">
      <pane ySplit="1" topLeftCell="A23" activePane="bottomLeft" state="frozen"/>
      <selection pane="bottomLeft" activeCell="H31" sqref="H31"/>
    </sheetView>
  </sheetViews>
  <sheetFormatPr defaultColWidth="12.6328125" defaultRowHeight="15.75" customHeight="1" x14ac:dyDescent="0.25"/>
  <cols>
    <col min="1" max="3" width="18.90625" customWidth="1"/>
    <col min="4" max="4" width="28.1796875" customWidth="1"/>
    <col min="5" max="11" width="18.90625" customWidth="1"/>
    <col min="12" max="12" width="19.08984375" customWidth="1"/>
    <col min="13" max="26" width="18.90625" customWidth="1"/>
  </cols>
  <sheetData>
    <row r="1" spans="1:20" ht="22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36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37</v>
      </c>
      <c r="S1" s="2" t="s">
        <v>18</v>
      </c>
      <c r="T1" s="2" t="s">
        <v>12</v>
      </c>
    </row>
    <row r="2" spans="1:20" ht="22.5" customHeight="1" x14ac:dyDescent="0.25">
      <c r="A2" s="4">
        <v>46023.855293611108</v>
      </c>
      <c r="B2" s="5" t="s">
        <v>20</v>
      </c>
      <c r="C2" s="5" t="s">
        <v>21</v>
      </c>
      <c r="D2" s="5" t="s">
        <v>20</v>
      </c>
      <c r="E2" s="5" t="s">
        <v>20</v>
      </c>
      <c r="F2" s="5" t="s">
        <v>20</v>
      </c>
      <c r="G2" s="5" t="s">
        <v>20</v>
      </c>
      <c r="H2" s="5" t="s">
        <v>20</v>
      </c>
      <c r="I2" s="5" t="s">
        <v>20</v>
      </c>
      <c r="J2" s="5" t="s">
        <v>22</v>
      </c>
      <c r="K2" s="5" t="s">
        <v>22</v>
      </c>
      <c r="L2" s="5" t="s">
        <v>20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  <c r="S2" s="5" t="s">
        <v>21</v>
      </c>
      <c r="T2" s="5" t="s">
        <v>21</v>
      </c>
    </row>
    <row r="3" spans="1:20" ht="22.5" customHeight="1" x14ac:dyDescent="0.25">
      <c r="A3" s="4">
        <v>46024.41481159722</v>
      </c>
      <c r="B3" s="5" t="s">
        <v>21</v>
      </c>
      <c r="C3" s="5" t="s">
        <v>21</v>
      </c>
      <c r="D3" s="5" t="s">
        <v>21</v>
      </c>
      <c r="E3" s="5" t="s">
        <v>21</v>
      </c>
      <c r="F3" s="5" t="s">
        <v>21</v>
      </c>
      <c r="G3" s="5" t="s">
        <v>21</v>
      </c>
      <c r="H3" s="5" t="s">
        <v>21</v>
      </c>
      <c r="I3" s="5" t="s">
        <v>21</v>
      </c>
      <c r="J3" s="5" t="s">
        <v>21</v>
      </c>
      <c r="K3" s="5" t="s">
        <v>21</v>
      </c>
      <c r="L3" s="5" t="s">
        <v>21</v>
      </c>
      <c r="M3" s="5" t="s">
        <v>21</v>
      </c>
      <c r="N3" s="5" t="s">
        <v>21</v>
      </c>
      <c r="O3" s="5" t="s">
        <v>21</v>
      </c>
      <c r="P3" s="5" t="s">
        <v>21</v>
      </c>
      <c r="Q3" s="5" t="s">
        <v>21</v>
      </c>
      <c r="R3" s="5" t="s">
        <v>21</v>
      </c>
      <c r="S3" s="5" t="s">
        <v>21</v>
      </c>
      <c r="T3" s="5" t="s">
        <v>21</v>
      </c>
    </row>
    <row r="4" spans="1:20" ht="22.5" customHeight="1" x14ac:dyDescent="0.25">
      <c r="A4" s="4">
        <v>46024.425600891205</v>
      </c>
      <c r="B4" s="5" t="s">
        <v>21</v>
      </c>
      <c r="C4" s="5" t="s">
        <v>22</v>
      </c>
      <c r="D4" s="5" t="s">
        <v>24</v>
      </c>
      <c r="E4" s="5" t="s">
        <v>20</v>
      </c>
      <c r="F4" s="5" t="s">
        <v>21</v>
      </c>
      <c r="G4" s="5" t="s">
        <v>21</v>
      </c>
      <c r="H4" s="5" t="s">
        <v>21</v>
      </c>
      <c r="I4" s="5" t="s">
        <v>22</v>
      </c>
      <c r="J4" s="5" t="s">
        <v>20</v>
      </c>
      <c r="K4" s="5" t="s">
        <v>20</v>
      </c>
      <c r="L4" s="5" t="s">
        <v>20</v>
      </c>
      <c r="M4" s="5" t="s">
        <v>21</v>
      </c>
      <c r="N4" s="5" t="s">
        <v>21</v>
      </c>
      <c r="O4" s="5" t="s">
        <v>20</v>
      </c>
      <c r="P4" s="5" t="s">
        <v>21</v>
      </c>
      <c r="Q4" s="5" t="s">
        <v>20</v>
      </c>
      <c r="R4" s="5" t="s">
        <v>21</v>
      </c>
      <c r="S4" s="5" t="s">
        <v>20</v>
      </c>
      <c r="T4" s="5" t="s">
        <v>21</v>
      </c>
    </row>
    <row r="5" spans="1:20" ht="22.5" customHeight="1" x14ac:dyDescent="0.25">
      <c r="A5" s="4">
        <v>46024.446352511572</v>
      </c>
      <c r="B5" s="5" t="s">
        <v>20</v>
      </c>
      <c r="C5" s="5" t="s">
        <v>21</v>
      </c>
      <c r="D5" s="5" t="s">
        <v>21</v>
      </c>
      <c r="E5" s="5" t="s">
        <v>21</v>
      </c>
      <c r="F5" s="5" t="s">
        <v>21</v>
      </c>
      <c r="G5" s="5" t="s">
        <v>21</v>
      </c>
      <c r="H5" s="5" t="s">
        <v>21</v>
      </c>
      <c r="I5" s="5" t="s">
        <v>21</v>
      </c>
      <c r="J5" s="5" t="s">
        <v>20</v>
      </c>
      <c r="K5" s="5" t="s">
        <v>21</v>
      </c>
      <c r="L5" s="5" t="s">
        <v>21</v>
      </c>
      <c r="M5" s="5" t="s">
        <v>20</v>
      </c>
      <c r="N5" s="5" t="s">
        <v>20</v>
      </c>
      <c r="O5" s="5" t="s">
        <v>21</v>
      </c>
      <c r="P5" s="5" t="s">
        <v>21</v>
      </c>
      <c r="Q5" s="5" t="s">
        <v>21</v>
      </c>
      <c r="R5" s="5" t="s">
        <v>21</v>
      </c>
      <c r="S5" s="5" t="s">
        <v>21</v>
      </c>
      <c r="T5" s="5" t="s">
        <v>20</v>
      </c>
    </row>
    <row r="6" spans="1:20" ht="22.5" customHeight="1" x14ac:dyDescent="0.25">
      <c r="A6" s="4">
        <v>46024.488515543984</v>
      </c>
      <c r="B6" s="5" t="s">
        <v>21</v>
      </c>
      <c r="C6" s="5" t="s">
        <v>21</v>
      </c>
      <c r="D6" s="5" t="s">
        <v>21</v>
      </c>
      <c r="E6" s="5" t="s">
        <v>20</v>
      </c>
      <c r="F6" s="5" t="s">
        <v>20</v>
      </c>
      <c r="G6" s="5" t="s">
        <v>21</v>
      </c>
      <c r="H6" s="5" t="s">
        <v>21</v>
      </c>
      <c r="I6" s="5" t="s">
        <v>21</v>
      </c>
      <c r="J6" s="5" t="s">
        <v>20</v>
      </c>
      <c r="K6" s="5" t="s">
        <v>20</v>
      </c>
      <c r="L6" s="5" t="s">
        <v>20</v>
      </c>
      <c r="M6" s="5" t="s">
        <v>20</v>
      </c>
      <c r="N6" s="5" t="s">
        <v>21</v>
      </c>
      <c r="O6" s="5" t="s">
        <v>21</v>
      </c>
      <c r="P6" s="5" t="s">
        <v>21</v>
      </c>
      <c r="Q6" s="5" t="s">
        <v>21</v>
      </c>
      <c r="R6" s="5" t="s">
        <v>21</v>
      </c>
      <c r="S6" s="5" t="s">
        <v>21</v>
      </c>
      <c r="T6" s="5" t="s">
        <v>21</v>
      </c>
    </row>
    <row r="9" spans="1:20" ht="15.75" customHeight="1" x14ac:dyDescent="0.25">
      <c r="B9" s="8" t="s">
        <v>1</v>
      </c>
      <c r="C9" s="9" t="s">
        <v>2</v>
      </c>
      <c r="D9" s="9" t="s">
        <v>33</v>
      </c>
      <c r="E9" s="9" t="s">
        <v>4</v>
      </c>
      <c r="F9" s="9" t="s">
        <v>5</v>
      </c>
      <c r="G9" s="9" t="s">
        <v>6</v>
      </c>
      <c r="H9" s="9" t="s">
        <v>7</v>
      </c>
      <c r="I9" s="8" t="s">
        <v>34</v>
      </c>
      <c r="J9" s="8" t="s">
        <v>9</v>
      </c>
      <c r="K9" s="8" t="s">
        <v>35</v>
      </c>
      <c r="L9" s="8" t="s">
        <v>11</v>
      </c>
      <c r="M9" s="8" t="s">
        <v>36</v>
      </c>
      <c r="N9" s="8" t="s">
        <v>13</v>
      </c>
      <c r="O9" s="8" t="s">
        <v>14</v>
      </c>
      <c r="P9" s="8" t="s">
        <v>39</v>
      </c>
      <c r="Q9" s="8" t="s">
        <v>16</v>
      </c>
      <c r="R9" s="8" t="s">
        <v>37</v>
      </c>
      <c r="S9" s="8" t="s">
        <v>18</v>
      </c>
      <c r="T9" s="10" t="s">
        <v>38</v>
      </c>
    </row>
    <row r="10" spans="1:20" ht="15.75" customHeight="1" x14ac:dyDescent="0.25">
      <c r="B10" s="11">
        <f t="shared" ref="B10:T10" si="0">VLOOKUP(B2,$A$18:$B$22,2,FALSE)</f>
        <v>4</v>
      </c>
      <c r="C10" s="12">
        <f t="shared" si="0"/>
        <v>5</v>
      </c>
      <c r="D10" s="12">
        <f t="shared" si="0"/>
        <v>4</v>
      </c>
      <c r="E10" s="12">
        <f t="shared" si="0"/>
        <v>4</v>
      </c>
      <c r="F10" s="12">
        <f t="shared" si="0"/>
        <v>4</v>
      </c>
      <c r="G10" s="12">
        <f t="shared" si="0"/>
        <v>4</v>
      </c>
      <c r="H10" s="12">
        <f t="shared" si="0"/>
        <v>4</v>
      </c>
      <c r="I10" s="12">
        <f t="shared" si="0"/>
        <v>4</v>
      </c>
      <c r="J10" s="12">
        <f t="shared" si="0"/>
        <v>3</v>
      </c>
      <c r="K10" s="12">
        <f t="shared" si="0"/>
        <v>3</v>
      </c>
      <c r="L10" s="12">
        <f t="shared" si="0"/>
        <v>4</v>
      </c>
      <c r="M10" s="12">
        <f t="shared" si="0"/>
        <v>5</v>
      </c>
      <c r="N10" s="12">
        <f t="shared" si="0"/>
        <v>5</v>
      </c>
      <c r="O10" s="12">
        <f t="shared" si="0"/>
        <v>5</v>
      </c>
      <c r="P10" s="12">
        <f t="shared" si="0"/>
        <v>5</v>
      </c>
      <c r="Q10" s="12">
        <f t="shared" si="0"/>
        <v>5</v>
      </c>
      <c r="R10" s="12">
        <f t="shared" si="0"/>
        <v>5</v>
      </c>
      <c r="S10" s="12">
        <f t="shared" si="0"/>
        <v>5</v>
      </c>
      <c r="T10" s="12">
        <f t="shared" si="0"/>
        <v>5</v>
      </c>
    </row>
    <row r="11" spans="1:20" ht="15.75" customHeight="1" x14ac:dyDescent="0.25">
      <c r="B11" s="11">
        <f t="shared" ref="B11:B14" si="1">VLOOKUP(B3,$A$18:$B$22,2,FALSE)</f>
        <v>5</v>
      </c>
      <c r="C11" s="12">
        <f t="shared" ref="C11:T11" si="2">VLOOKUP(C3,$A$18:$B$22,2,FALSE)</f>
        <v>5</v>
      </c>
      <c r="D11" s="12">
        <f t="shared" si="2"/>
        <v>5</v>
      </c>
      <c r="E11" s="12">
        <f t="shared" si="2"/>
        <v>5</v>
      </c>
      <c r="F11" s="12">
        <f t="shared" si="2"/>
        <v>5</v>
      </c>
      <c r="G11" s="12">
        <f t="shared" si="2"/>
        <v>5</v>
      </c>
      <c r="H11" s="12">
        <f t="shared" si="2"/>
        <v>5</v>
      </c>
      <c r="I11" s="12">
        <f t="shared" si="2"/>
        <v>5</v>
      </c>
      <c r="J11" s="12">
        <f t="shared" si="2"/>
        <v>5</v>
      </c>
      <c r="K11" s="12">
        <f t="shared" si="2"/>
        <v>5</v>
      </c>
      <c r="L11" s="12">
        <f t="shared" si="2"/>
        <v>5</v>
      </c>
      <c r="M11" s="12">
        <f t="shared" si="2"/>
        <v>5</v>
      </c>
      <c r="N11" s="12">
        <f t="shared" si="2"/>
        <v>5</v>
      </c>
      <c r="O11" s="12">
        <f t="shared" si="2"/>
        <v>5</v>
      </c>
      <c r="P11" s="12">
        <f t="shared" si="2"/>
        <v>5</v>
      </c>
      <c r="Q11" s="12">
        <f t="shared" si="2"/>
        <v>5</v>
      </c>
      <c r="R11" s="12">
        <f t="shared" si="2"/>
        <v>5</v>
      </c>
      <c r="S11" s="12">
        <f t="shared" si="2"/>
        <v>5</v>
      </c>
      <c r="T11" s="12">
        <f t="shared" si="2"/>
        <v>5</v>
      </c>
    </row>
    <row r="12" spans="1:20" ht="15.75" customHeight="1" x14ac:dyDescent="0.25">
      <c r="B12" s="11">
        <f t="shared" si="1"/>
        <v>5</v>
      </c>
      <c r="C12" s="12">
        <f t="shared" ref="C12:T12" si="3">VLOOKUP(C4,$A$18:$B$22,2,FALSE)</f>
        <v>3</v>
      </c>
      <c r="D12" s="12">
        <f t="shared" si="3"/>
        <v>2</v>
      </c>
      <c r="E12" s="12">
        <f t="shared" si="3"/>
        <v>4</v>
      </c>
      <c r="F12" s="12">
        <f t="shared" si="3"/>
        <v>5</v>
      </c>
      <c r="G12" s="12">
        <f t="shared" si="3"/>
        <v>5</v>
      </c>
      <c r="H12" s="12">
        <f t="shared" si="3"/>
        <v>5</v>
      </c>
      <c r="I12" s="12">
        <f t="shared" si="3"/>
        <v>3</v>
      </c>
      <c r="J12" s="12">
        <f t="shared" si="3"/>
        <v>4</v>
      </c>
      <c r="K12" s="12">
        <f t="shared" si="3"/>
        <v>4</v>
      </c>
      <c r="L12" s="12">
        <f t="shared" si="3"/>
        <v>4</v>
      </c>
      <c r="M12" s="12">
        <f t="shared" si="3"/>
        <v>5</v>
      </c>
      <c r="N12" s="12">
        <f t="shared" si="3"/>
        <v>5</v>
      </c>
      <c r="O12" s="12">
        <f t="shared" si="3"/>
        <v>4</v>
      </c>
      <c r="P12" s="12">
        <f t="shared" si="3"/>
        <v>5</v>
      </c>
      <c r="Q12" s="12">
        <f t="shared" si="3"/>
        <v>4</v>
      </c>
      <c r="R12" s="12">
        <f t="shared" si="3"/>
        <v>5</v>
      </c>
      <c r="S12" s="12">
        <f t="shared" si="3"/>
        <v>4</v>
      </c>
      <c r="T12" s="12">
        <f t="shared" si="3"/>
        <v>5</v>
      </c>
    </row>
    <row r="13" spans="1:20" ht="15.75" customHeight="1" x14ac:dyDescent="0.25">
      <c r="B13" s="11">
        <f t="shared" si="1"/>
        <v>4</v>
      </c>
      <c r="C13" s="12">
        <f t="shared" ref="C13:T13" si="4">VLOOKUP(C5,$A$18:$B$22,2,FALSE)</f>
        <v>5</v>
      </c>
      <c r="D13" s="12">
        <f t="shared" si="4"/>
        <v>5</v>
      </c>
      <c r="E13" s="12">
        <f t="shared" si="4"/>
        <v>5</v>
      </c>
      <c r="F13" s="12">
        <f t="shared" si="4"/>
        <v>5</v>
      </c>
      <c r="G13" s="12">
        <f t="shared" si="4"/>
        <v>5</v>
      </c>
      <c r="H13" s="12">
        <f t="shared" si="4"/>
        <v>5</v>
      </c>
      <c r="I13" s="12">
        <f t="shared" si="4"/>
        <v>5</v>
      </c>
      <c r="J13" s="12">
        <f t="shared" si="4"/>
        <v>4</v>
      </c>
      <c r="K13" s="12">
        <f t="shared" si="4"/>
        <v>5</v>
      </c>
      <c r="L13" s="12">
        <f t="shared" si="4"/>
        <v>5</v>
      </c>
      <c r="M13" s="12">
        <f t="shared" si="4"/>
        <v>4</v>
      </c>
      <c r="N13" s="12">
        <f t="shared" si="4"/>
        <v>4</v>
      </c>
      <c r="O13" s="12">
        <f t="shared" si="4"/>
        <v>5</v>
      </c>
      <c r="P13" s="12">
        <f t="shared" si="4"/>
        <v>5</v>
      </c>
      <c r="Q13" s="12">
        <f t="shared" si="4"/>
        <v>5</v>
      </c>
      <c r="R13" s="12">
        <f t="shared" si="4"/>
        <v>5</v>
      </c>
      <c r="S13" s="12">
        <f t="shared" si="4"/>
        <v>5</v>
      </c>
      <c r="T13" s="12">
        <f t="shared" si="4"/>
        <v>4</v>
      </c>
    </row>
    <row r="14" spans="1:20" ht="15.75" customHeight="1" x14ac:dyDescent="0.25">
      <c r="B14" s="11">
        <f t="shared" si="1"/>
        <v>5</v>
      </c>
      <c r="C14" s="12">
        <f t="shared" ref="C14:T14" si="5">VLOOKUP(C6,$A$18:$B$22,2,FALSE)</f>
        <v>5</v>
      </c>
      <c r="D14" s="12">
        <f t="shared" si="5"/>
        <v>5</v>
      </c>
      <c r="E14" s="12">
        <f t="shared" si="5"/>
        <v>4</v>
      </c>
      <c r="F14" s="12">
        <f t="shared" si="5"/>
        <v>4</v>
      </c>
      <c r="G14" s="12">
        <f t="shared" si="5"/>
        <v>5</v>
      </c>
      <c r="H14" s="12">
        <f t="shared" si="5"/>
        <v>5</v>
      </c>
      <c r="I14" s="12">
        <f t="shared" si="5"/>
        <v>5</v>
      </c>
      <c r="J14" s="12">
        <f t="shared" si="5"/>
        <v>4</v>
      </c>
      <c r="K14" s="12">
        <f t="shared" si="5"/>
        <v>4</v>
      </c>
      <c r="L14" s="12">
        <f t="shared" si="5"/>
        <v>4</v>
      </c>
      <c r="M14" s="12">
        <f t="shared" si="5"/>
        <v>4</v>
      </c>
      <c r="N14" s="12">
        <f t="shared" si="5"/>
        <v>5</v>
      </c>
      <c r="O14" s="12">
        <f t="shared" si="5"/>
        <v>5</v>
      </c>
      <c r="P14" s="12">
        <f t="shared" si="5"/>
        <v>5</v>
      </c>
      <c r="Q14" s="12">
        <f t="shared" si="5"/>
        <v>5</v>
      </c>
      <c r="R14" s="12">
        <f t="shared" si="5"/>
        <v>5</v>
      </c>
      <c r="S14" s="12">
        <f t="shared" si="5"/>
        <v>5</v>
      </c>
      <c r="T14" s="12">
        <f t="shared" si="5"/>
        <v>5</v>
      </c>
    </row>
    <row r="15" spans="1:20" ht="15.75" customHeight="1" x14ac:dyDescent="0.25">
      <c r="B15" s="12">
        <f>AVERAGE(B10:B14)</f>
        <v>4.5999999999999996</v>
      </c>
      <c r="C15" s="12">
        <f>AVERAGE(C10:C14)</f>
        <v>4.5999999999999996</v>
      </c>
      <c r="D15" s="12">
        <f>AVERAGE(D10:D14)</f>
        <v>4.2</v>
      </c>
      <c r="E15" s="12">
        <f t="shared" ref="E15:T15" si="6">AVERAGE(E10:E14)</f>
        <v>4.4000000000000004</v>
      </c>
      <c r="F15" s="12">
        <f t="shared" si="6"/>
        <v>4.5999999999999996</v>
      </c>
      <c r="G15" s="12">
        <f t="shared" si="6"/>
        <v>4.8</v>
      </c>
      <c r="H15" s="12">
        <f t="shared" si="6"/>
        <v>4.8</v>
      </c>
      <c r="I15" s="12">
        <f t="shared" si="6"/>
        <v>4.4000000000000004</v>
      </c>
      <c r="J15" s="12">
        <f t="shared" si="6"/>
        <v>4</v>
      </c>
      <c r="K15" s="12">
        <f t="shared" si="6"/>
        <v>4.2</v>
      </c>
      <c r="L15" s="12">
        <f t="shared" si="6"/>
        <v>4.4000000000000004</v>
      </c>
      <c r="M15" s="12">
        <f t="shared" si="6"/>
        <v>4.5999999999999996</v>
      </c>
      <c r="N15" s="12">
        <f t="shared" si="6"/>
        <v>4.8</v>
      </c>
      <c r="O15" s="12">
        <f t="shared" si="6"/>
        <v>4.8</v>
      </c>
      <c r="P15" s="12">
        <f t="shared" si="6"/>
        <v>5</v>
      </c>
      <c r="Q15" s="12">
        <f t="shared" si="6"/>
        <v>4.8</v>
      </c>
      <c r="R15" s="12">
        <f t="shared" si="6"/>
        <v>5</v>
      </c>
      <c r="S15" s="12">
        <f t="shared" si="6"/>
        <v>4.8</v>
      </c>
      <c r="T15" s="12">
        <f t="shared" si="6"/>
        <v>4.8</v>
      </c>
    </row>
    <row r="17" spans="1:2" ht="15.75" customHeight="1" x14ac:dyDescent="0.25">
      <c r="A17" s="6" t="s">
        <v>26</v>
      </c>
      <c r="B17" s="6" t="s">
        <v>27</v>
      </c>
    </row>
    <row r="18" spans="1:2" ht="15.75" customHeight="1" x14ac:dyDescent="0.25">
      <c r="A18" s="7" t="s">
        <v>28</v>
      </c>
      <c r="B18" s="7">
        <v>1</v>
      </c>
    </row>
    <row r="19" spans="1:2" ht="15.75" customHeight="1" x14ac:dyDescent="0.25">
      <c r="A19" s="7" t="s">
        <v>24</v>
      </c>
      <c r="B19" s="7">
        <v>2</v>
      </c>
    </row>
    <row r="20" spans="1:2" ht="15.75" customHeight="1" x14ac:dyDescent="0.25">
      <c r="A20" s="7" t="s">
        <v>22</v>
      </c>
      <c r="B20" s="7">
        <v>3</v>
      </c>
    </row>
    <row r="21" spans="1:2" ht="15.75" customHeight="1" x14ac:dyDescent="0.25">
      <c r="A21" s="7" t="s">
        <v>20</v>
      </c>
      <c r="B21" s="7">
        <v>4</v>
      </c>
    </row>
    <row r="22" spans="1:2" ht="15.75" customHeight="1" x14ac:dyDescent="0.25">
      <c r="A22" s="7" t="s">
        <v>21</v>
      </c>
      <c r="B22" s="7">
        <v>5</v>
      </c>
    </row>
    <row r="33" spans="1:4" ht="15.75" customHeight="1" x14ac:dyDescent="0.25">
      <c r="A33" s="6" t="s">
        <v>29</v>
      </c>
      <c r="B33" s="6" t="s">
        <v>30</v>
      </c>
      <c r="C33" s="6" t="s">
        <v>31</v>
      </c>
      <c r="D33" s="6" t="s">
        <v>32</v>
      </c>
    </row>
    <row r="34" spans="1:4" ht="15.75" customHeight="1" x14ac:dyDescent="0.25">
      <c r="A34" s="13">
        <f>32/7</f>
        <v>4.5714285714285712</v>
      </c>
      <c r="B34" s="13">
        <f>21.6/5</f>
        <v>4.32</v>
      </c>
      <c r="C34" s="13">
        <f>19.4/4</f>
        <v>4.8499999999999996</v>
      </c>
      <c r="D34" s="13">
        <f>14.6/3</f>
        <v>4.8666666666666663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BFB5-6FF7-49E6-891F-2D477BEE66AC}">
  <sheetPr>
    <outlinePr summaryBelow="0" summaryRight="0"/>
  </sheetPr>
  <dimension ref="A1:T6"/>
  <sheetViews>
    <sheetView workbookViewId="0">
      <pane ySplit="1" topLeftCell="A2" activePane="bottomLeft" state="frozen"/>
      <selection pane="bottomLeft" activeCell="Q8" sqref="Q8"/>
    </sheetView>
  </sheetViews>
  <sheetFormatPr defaultColWidth="12.6328125" defaultRowHeight="15.75" customHeight="1" x14ac:dyDescent="0.25"/>
  <cols>
    <col min="1" max="3" width="18.90625" customWidth="1"/>
    <col min="4" max="4" width="28" customWidth="1"/>
    <col min="5" max="11" width="18.90625" customWidth="1"/>
    <col min="12" max="12" width="19.08984375" customWidth="1"/>
    <col min="13" max="26" width="18.90625" customWidth="1"/>
  </cols>
  <sheetData>
    <row r="1" spans="1:20" ht="22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22.5" customHeight="1" x14ac:dyDescent="0.25">
      <c r="A2" s="4">
        <v>46023.855293611108</v>
      </c>
      <c r="B2" s="5" t="s">
        <v>20</v>
      </c>
      <c r="C2" s="5" t="s">
        <v>21</v>
      </c>
      <c r="D2" s="5" t="s">
        <v>20</v>
      </c>
      <c r="E2" s="5" t="s">
        <v>20</v>
      </c>
      <c r="F2" s="5" t="s">
        <v>20</v>
      </c>
      <c r="G2" s="5" t="s">
        <v>20</v>
      </c>
      <c r="H2" s="5" t="s">
        <v>20</v>
      </c>
      <c r="I2" s="5" t="s">
        <v>20</v>
      </c>
      <c r="J2" s="5" t="s">
        <v>22</v>
      </c>
      <c r="K2" s="5" t="s">
        <v>22</v>
      </c>
      <c r="L2" s="5" t="s">
        <v>20</v>
      </c>
      <c r="M2" s="5" t="s">
        <v>21</v>
      </c>
      <c r="N2" s="5" t="s">
        <v>21</v>
      </c>
      <c r="O2" s="5" t="s">
        <v>21</v>
      </c>
      <c r="P2" s="5" t="s">
        <v>23</v>
      </c>
      <c r="Q2" s="5" t="s">
        <v>21</v>
      </c>
      <c r="R2" s="5" t="s">
        <v>21</v>
      </c>
      <c r="S2" s="5" t="s">
        <v>21</v>
      </c>
      <c r="T2" s="5" t="s">
        <v>23</v>
      </c>
    </row>
    <row r="3" spans="1:20" ht="22.5" customHeight="1" x14ac:dyDescent="0.25">
      <c r="A3" s="4">
        <v>46024.41481159722</v>
      </c>
      <c r="B3" s="5" t="s">
        <v>21</v>
      </c>
      <c r="C3" s="5" t="s">
        <v>21</v>
      </c>
      <c r="D3" s="5" t="s">
        <v>21</v>
      </c>
      <c r="E3" s="5" t="s">
        <v>21</v>
      </c>
      <c r="F3" s="5" t="s">
        <v>21</v>
      </c>
      <c r="G3" s="5" t="s">
        <v>21</v>
      </c>
      <c r="H3" s="5" t="s">
        <v>21</v>
      </c>
      <c r="I3" s="5" t="s">
        <v>21</v>
      </c>
      <c r="J3" s="5" t="s">
        <v>21</v>
      </c>
      <c r="K3" s="5" t="s">
        <v>21</v>
      </c>
      <c r="L3" s="5" t="s">
        <v>21</v>
      </c>
      <c r="M3" s="5" t="s">
        <v>21</v>
      </c>
      <c r="N3" s="5" t="s">
        <v>21</v>
      </c>
      <c r="O3" s="5" t="s">
        <v>21</v>
      </c>
      <c r="P3" s="5" t="s">
        <v>23</v>
      </c>
      <c r="Q3" s="5" t="s">
        <v>21</v>
      </c>
      <c r="R3" s="5" t="s">
        <v>21</v>
      </c>
      <c r="S3" s="5" t="s">
        <v>21</v>
      </c>
      <c r="T3" s="5" t="s">
        <v>23</v>
      </c>
    </row>
    <row r="4" spans="1:20" ht="22.5" customHeight="1" x14ac:dyDescent="0.25">
      <c r="A4" s="4">
        <v>46024.425600891205</v>
      </c>
      <c r="B4" s="5" t="s">
        <v>21</v>
      </c>
      <c r="C4" s="5" t="s">
        <v>22</v>
      </c>
      <c r="D4" s="5" t="s">
        <v>24</v>
      </c>
      <c r="E4" s="5" t="s">
        <v>20</v>
      </c>
      <c r="F4" s="5" t="s">
        <v>21</v>
      </c>
      <c r="G4" s="5" t="s">
        <v>21</v>
      </c>
      <c r="H4" s="5" t="s">
        <v>21</v>
      </c>
      <c r="I4" s="5" t="s">
        <v>22</v>
      </c>
      <c r="J4" s="5" t="s">
        <v>20</v>
      </c>
      <c r="K4" s="5" t="s">
        <v>20</v>
      </c>
      <c r="L4" s="5" t="s">
        <v>20</v>
      </c>
      <c r="M4" s="5" t="s">
        <v>21</v>
      </c>
      <c r="N4" s="5" t="s">
        <v>21</v>
      </c>
      <c r="O4" s="5" t="s">
        <v>20</v>
      </c>
      <c r="P4" s="5" t="s">
        <v>23</v>
      </c>
      <c r="Q4" s="5" t="s">
        <v>20</v>
      </c>
      <c r="R4" s="5" t="s">
        <v>21</v>
      </c>
      <c r="S4" s="5" t="s">
        <v>20</v>
      </c>
      <c r="T4" s="5" t="s">
        <v>23</v>
      </c>
    </row>
    <row r="5" spans="1:20" ht="22.5" customHeight="1" x14ac:dyDescent="0.25">
      <c r="A5" s="4">
        <v>46024.446352511572</v>
      </c>
      <c r="B5" s="5" t="s">
        <v>20</v>
      </c>
      <c r="C5" s="5" t="s">
        <v>21</v>
      </c>
      <c r="D5" s="5" t="s">
        <v>21</v>
      </c>
      <c r="E5" s="5" t="s">
        <v>21</v>
      </c>
      <c r="F5" s="5" t="s">
        <v>21</v>
      </c>
      <c r="G5" s="5" t="s">
        <v>21</v>
      </c>
      <c r="H5" s="5" t="s">
        <v>21</v>
      </c>
      <c r="I5" s="5" t="s">
        <v>21</v>
      </c>
      <c r="J5" s="5" t="s">
        <v>20</v>
      </c>
      <c r="K5" s="5" t="s">
        <v>21</v>
      </c>
      <c r="L5" s="5" t="s">
        <v>21</v>
      </c>
      <c r="M5" s="5" t="s">
        <v>20</v>
      </c>
      <c r="N5" s="5" t="s">
        <v>20</v>
      </c>
      <c r="O5" s="5" t="s">
        <v>21</v>
      </c>
      <c r="P5" s="5" t="s">
        <v>23</v>
      </c>
      <c r="Q5" s="5" t="s">
        <v>21</v>
      </c>
      <c r="R5" s="5" t="s">
        <v>21</v>
      </c>
      <c r="S5" s="5" t="s">
        <v>21</v>
      </c>
      <c r="T5" s="5" t="s">
        <v>25</v>
      </c>
    </row>
    <row r="6" spans="1:20" ht="22.5" customHeight="1" x14ac:dyDescent="0.25">
      <c r="A6" s="4">
        <v>46024.488515543984</v>
      </c>
      <c r="B6" s="5" t="s">
        <v>21</v>
      </c>
      <c r="C6" s="5" t="s">
        <v>21</v>
      </c>
      <c r="D6" s="5" t="s">
        <v>21</v>
      </c>
      <c r="E6" s="5" t="s">
        <v>20</v>
      </c>
      <c r="F6" s="5" t="s">
        <v>20</v>
      </c>
      <c r="G6" s="5" t="s">
        <v>21</v>
      </c>
      <c r="H6" s="5" t="s">
        <v>21</v>
      </c>
      <c r="I6" s="5" t="s">
        <v>21</v>
      </c>
      <c r="J6" s="5" t="s">
        <v>20</v>
      </c>
      <c r="K6" s="5" t="s">
        <v>20</v>
      </c>
      <c r="L6" s="5" t="s">
        <v>20</v>
      </c>
      <c r="M6" s="5" t="s">
        <v>20</v>
      </c>
      <c r="N6" s="5" t="s">
        <v>21</v>
      </c>
      <c r="O6" s="5" t="s">
        <v>21</v>
      </c>
      <c r="P6" s="5" t="s">
        <v>23</v>
      </c>
      <c r="Q6" s="5" t="s">
        <v>21</v>
      </c>
      <c r="R6" s="5" t="s">
        <v>21</v>
      </c>
      <c r="S6" s="5" t="s">
        <v>21</v>
      </c>
      <c r="T6" s="5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Form Responses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Deraya Maula</cp:lastModifiedBy>
  <dcterms:modified xsi:type="dcterms:W3CDTF">2026-01-10T14:48:31Z</dcterms:modified>
</cp:coreProperties>
</file>